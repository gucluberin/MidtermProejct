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2" sheetId="1" r:id="rId4"/>
    <sheet state="visible" name="Sayfa1" sheetId="2" r:id="rId5"/>
  </sheets>
  <definedNames/>
  <calcPr/>
  <extLst>
    <ext uri="GoogleSheetsCustomDataVersion2">
      <go:sheetsCustomData xmlns:go="http://customooxmlschemas.google.com/" r:id="rId6" roundtripDataChecksum="46l+xNgkz9HNU9MkCleBeJzmssOg3eH5VP81djyYbBA="/>
    </ext>
  </extLst>
</workbook>
</file>

<file path=xl/sharedStrings.xml><?xml version="1.0" encoding="utf-8"?>
<sst xmlns="http://schemas.openxmlformats.org/spreadsheetml/2006/main" count="252" uniqueCount="47">
  <si>
    <t>Dosya_Adi</t>
  </si>
  <si>
    <t>Denek_ID</t>
  </si>
  <si>
    <t>Cinsiyet</t>
  </si>
  <si>
    <t>Yas</t>
  </si>
  <si>
    <t>Duygu</t>
  </si>
  <si>
    <t>Cumle_No</t>
  </si>
  <si>
    <t>Kayit_Cihazı</t>
  </si>
  <si>
    <t>Ortam</t>
  </si>
  <si>
    <t>Gürültü Seviyesi</t>
  </si>
  <si>
    <t>G06_D01_E_21_Notr_C1.wav</t>
  </si>
  <si>
    <t>D01</t>
  </si>
  <si>
    <t>E</t>
  </si>
  <si>
    <t>Notr</t>
  </si>
  <si>
    <t>Iphone 14</t>
  </si>
  <si>
    <t>Ev</t>
  </si>
  <si>
    <t>G06_D01_E_21_Mutlu_C2.wav</t>
  </si>
  <si>
    <t>Mutlu</t>
  </si>
  <si>
    <t>G06_D01_E_21_Saskin_C5.wav</t>
  </si>
  <si>
    <t>Saskin</t>
  </si>
  <si>
    <t>G06_D02_E_21_Notr_C1.wav</t>
  </si>
  <si>
    <t>D02</t>
  </si>
  <si>
    <t>Tecno 40 pro</t>
  </si>
  <si>
    <t>G06_D02_E_21_Mutlu_C2.wav</t>
  </si>
  <si>
    <t>G06_D02_E_21_Ofkeli_C3.wav</t>
  </si>
  <si>
    <t>Ofkeli</t>
  </si>
  <si>
    <t>G06_D03_K_25_Notr_C1.wav</t>
  </si>
  <si>
    <t>D03</t>
  </si>
  <si>
    <t>K</t>
  </si>
  <si>
    <t>G06_D03_K_25_Mutlu_C2.wav</t>
  </si>
  <si>
    <t>G06_D03_K_25_Ofkeli_C3.wav</t>
  </si>
  <si>
    <t>G06_D04_E_22_Notr_C1.wav</t>
  </si>
  <si>
    <t>D04</t>
  </si>
  <si>
    <t>G06_D04_E_22_Mutlu_C2.wav</t>
  </si>
  <si>
    <t>G06_D04_E_22_Ofkeli_C3.wav</t>
  </si>
  <si>
    <t>G06_D05_C_10_Notr_C1.wav</t>
  </si>
  <si>
    <t>D05</t>
  </si>
  <si>
    <t>C</t>
  </si>
  <si>
    <t>G06_D05_C_10_Ofkeli_C3.wav</t>
  </si>
  <si>
    <t>G06_D05_C_10_Uzgun_C4.wav</t>
  </si>
  <si>
    <t>Uzgun</t>
  </si>
  <si>
    <t>G06_D06_E_20_Notr_C1.wav</t>
  </si>
  <si>
    <t>D06</t>
  </si>
  <si>
    <t>G06_D06_E_20_Ofkeli_C3.wav</t>
  </si>
  <si>
    <t>G06_D06_E_20_Uzgun_C4.wav</t>
  </si>
  <si>
    <t xml:space="preserve">Cumle_No  </t>
  </si>
  <si>
    <t>Orta</t>
  </si>
  <si>
    <t>Düşük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</si>
</sst>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Arial"/>
    </font>
    <font>
      <sz val="11.0"/>
      <color theme="1"/>
      <name val="Aptos Narrow"/>
    </font>
    <font>
      <sz val="10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8" fillId="0" fontId="4" numFmtId="0" xfId="0" applyBorder="1" applyFont="1"/>
    <xf borderId="2" fillId="0" fontId="4" numFmtId="0" xfId="0" applyBorder="1" applyFont="1"/>
    <xf borderId="1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6" fillId="0" fontId="4" numFmtId="0" xfId="0" applyBorder="1" applyFont="1"/>
    <xf borderId="2" fillId="0" fontId="5" numFmtId="0" xfId="0" applyBorder="1" applyFont="1"/>
    <xf borderId="7" fillId="0" fontId="4" numFmtId="0" xfId="0" applyBorder="1" applyFont="1"/>
    <xf borderId="5" fillId="0" fontId="4" numFmtId="0" xfId="0" applyBorder="1" applyFont="1"/>
    <xf borderId="0" fillId="0" fontId="6" numFmtId="0" xfId="0" applyFont="1"/>
    <xf borderId="10" fillId="0" fontId="4" numFmtId="0" xfId="0" applyBorder="1" applyFont="1"/>
    <xf borderId="9" fillId="0" fontId="4" numFmtId="0" xfId="0" applyBorder="1" applyFont="1"/>
    <xf borderId="1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29.25"/>
    <col customWidth="1" min="9" max="9" width="12.75"/>
    <col customWidth="1" min="10" max="12" width="8.63"/>
    <col customWidth="1" min="13" max="13" width="11.88"/>
    <col customWidth="1" min="14" max="14" width="21.5"/>
    <col customWidth="1" min="15" max="15" width="8.63"/>
    <col customWidth="1" min="16" max="16" width="18.13"/>
    <col customWidth="1" min="17" max="22" width="8.63"/>
  </cols>
  <sheetData>
    <row r="1" ht="14.25" customHeight="1">
      <c r="G1" s="1"/>
      <c r="H1" s="2" t="s">
        <v>0</v>
      </c>
      <c r="I1" s="3" t="s">
        <v>1</v>
      </c>
      <c r="J1" s="3" t="s">
        <v>2</v>
      </c>
      <c r="K1" s="3" t="s">
        <v>3</v>
      </c>
      <c r="L1" s="4" t="s">
        <v>4</v>
      </c>
      <c r="M1" s="3" t="s">
        <v>5</v>
      </c>
      <c r="N1" s="5" t="s">
        <v>6</v>
      </c>
      <c r="O1" s="4" t="s">
        <v>7</v>
      </c>
      <c r="P1" s="6" t="s">
        <v>8</v>
      </c>
    </row>
    <row r="2" ht="14.25" customHeight="1">
      <c r="G2" s="1"/>
      <c r="H2" s="7" t="s">
        <v>9</v>
      </c>
      <c r="I2" s="8" t="s">
        <v>10</v>
      </c>
      <c r="J2" s="8" t="s">
        <v>11</v>
      </c>
      <c r="K2" s="9">
        <v>21.0</v>
      </c>
      <c r="L2" s="8" t="s">
        <v>12</v>
      </c>
      <c r="M2" s="9">
        <v>1.0</v>
      </c>
      <c r="N2" s="10" t="s">
        <v>13</v>
      </c>
      <c r="O2" s="8" t="s">
        <v>14</v>
      </c>
      <c r="P2" s="11" t="str">
        <f>VLOOKUP(H2, Sayfa1!$K$14:$V$32, 12, FALSE)</f>
        <v>Orta</v>
      </c>
    </row>
    <row r="3" ht="14.25" customHeight="1">
      <c r="G3" s="1"/>
      <c r="H3" s="3" t="s">
        <v>15</v>
      </c>
      <c r="I3" s="3" t="s">
        <v>10</v>
      </c>
      <c r="J3" s="3" t="s">
        <v>11</v>
      </c>
      <c r="K3" s="12">
        <v>21.0</v>
      </c>
      <c r="L3" s="5" t="s">
        <v>16</v>
      </c>
      <c r="M3" s="12">
        <v>2.0</v>
      </c>
      <c r="N3" s="13" t="s">
        <v>13</v>
      </c>
      <c r="O3" s="3" t="s">
        <v>14</v>
      </c>
      <c r="P3" s="6" t="str">
        <f>VLOOKUP(H3, Sayfa1!$K$14:$V$32, 12, FALSE)</f>
        <v>Orta</v>
      </c>
    </row>
    <row r="4" ht="14.25" customHeight="1">
      <c r="G4" s="1"/>
      <c r="H4" s="3" t="s">
        <v>17</v>
      </c>
      <c r="I4" s="8" t="s">
        <v>10</v>
      </c>
      <c r="J4" s="8" t="s">
        <v>11</v>
      </c>
      <c r="K4" s="9">
        <v>21.0</v>
      </c>
      <c r="L4" s="8" t="s">
        <v>18</v>
      </c>
      <c r="M4" s="9">
        <v>5.0</v>
      </c>
      <c r="N4" s="10" t="s">
        <v>13</v>
      </c>
      <c r="O4" s="14" t="s">
        <v>14</v>
      </c>
      <c r="P4" s="11" t="str">
        <f>VLOOKUP(H4, Sayfa1!$K$14:$V$32, 12, FALSE)</f>
        <v>Orta</v>
      </c>
    </row>
    <row r="5" ht="14.25" customHeight="1">
      <c r="G5" s="1"/>
      <c r="H5" s="3" t="s">
        <v>19</v>
      </c>
      <c r="I5" s="3" t="s">
        <v>20</v>
      </c>
      <c r="J5" s="3" t="s">
        <v>11</v>
      </c>
      <c r="K5" s="12">
        <v>21.0</v>
      </c>
      <c r="L5" s="5" t="s">
        <v>12</v>
      </c>
      <c r="M5" s="12">
        <v>1.0</v>
      </c>
      <c r="N5" s="13" t="s">
        <v>21</v>
      </c>
      <c r="O5" s="3" t="s">
        <v>14</v>
      </c>
      <c r="P5" s="6" t="str">
        <f>VLOOKUP(H5, Sayfa1!$K$14:$V$32, 12, FALSE)</f>
        <v>Düşük</v>
      </c>
    </row>
    <row r="6" ht="14.25" customHeight="1">
      <c r="G6" s="1"/>
      <c r="H6" s="3" t="s">
        <v>22</v>
      </c>
      <c r="I6" s="8" t="s">
        <v>20</v>
      </c>
      <c r="J6" s="8" t="s">
        <v>11</v>
      </c>
      <c r="K6" s="9">
        <v>21.0</v>
      </c>
      <c r="L6" s="8" t="s">
        <v>16</v>
      </c>
      <c r="M6" s="9">
        <v>2.0</v>
      </c>
      <c r="N6" s="10" t="s">
        <v>21</v>
      </c>
      <c r="O6" s="14" t="s">
        <v>14</v>
      </c>
      <c r="P6" s="15" t="str">
        <f>VLOOKUP(H6, Sayfa1!$K$14:$V$32, 12, FALSE)</f>
        <v>Düşük</v>
      </c>
    </row>
    <row r="7" ht="14.25" customHeight="1">
      <c r="G7" s="1"/>
      <c r="H7" s="3" t="s">
        <v>23</v>
      </c>
      <c r="I7" s="3" t="s">
        <v>20</v>
      </c>
      <c r="J7" s="3" t="s">
        <v>11</v>
      </c>
      <c r="K7" s="12">
        <v>21.0</v>
      </c>
      <c r="L7" s="5" t="s">
        <v>24</v>
      </c>
      <c r="M7" s="12">
        <v>3.0</v>
      </c>
      <c r="N7" s="13" t="s">
        <v>21</v>
      </c>
      <c r="O7" s="3" t="s">
        <v>14</v>
      </c>
      <c r="P7" s="16" t="str">
        <f>VLOOKUP(H7, Sayfa1!$K$14:$V$32, 12, FALSE)</f>
        <v>Düşük</v>
      </c>
    </row>
    <row r="8" ht="14.25" customHeight="1">
      <c r="G8" s="1"/>
      <c r="H8" s="3" t="s">
        <v>25</v>
      </c>
      <c r="I8" s="8" t="s">
        <v>26</v>
      </c>
      <c r="J8" s="8" t="s">
        <v>27</v>
      </c>
      <c r="K8" s="9">
        <v>25.0</v>
      </c>
      <c r="L8" s="8" t="s">
        <v>12</v>
      </c>
      <c r="M8" s="9">
        <v>1.0</v>
      </c>
      <c r="N8" s="10" t="s">
        <v>21</v>
      </c>
      <c r="O8" s="14" t="s">
        <v>14</v>
      </c>
      <c r="P8" s="15" t="str">
        <f>VLOOKUP(H8, Sayfa1!$K$14:$V$32, 12, FALSE)</f>
        <v>Düşük</v>
      </c>
    </row>
    <row r="9" ht="14.25" customHeight="1">
      <c r="G9" s="1"/>
      <c r="H9" s="3" t="s">
        <v>28</v>
      </c>
      <c r="I9" s="3" t="s">
        <v>26</v>
      </c>
      <c r="J9" s="3" t="s">
        <v>27</v>
      </c>
      <c r="K9" s="12">
        <v>25.0</v>
      </c>
      <c r="L9" s="5" t="s">
        <v>16</v>
      </c>
      <c r="M9" s="12">
        <v>2.0</v>
      </c>
      <c r="N9" s="13" t="s">
        <v>21</v>
      </c>
      <c r="O9" s="3" t="s">
        <v>14</v>
      </c>
      <c r="P9" s="16" t="str">
        <f>VLOOKUP(H9, Sayfa1!$K$14:$V$32, 12, FALSE)</f>
        <v>Düşük</v>
      </c>
    </row>
    <row r="10" ht="14.25" customHeight="1">
      <c r="G10" s="1"/>
      <c r="H10" s="3" t="s">
        <v>29</v>
      </c>
      <c r="I10" s="8" t="s">
        <v>26</v>
      </c>
      <c r="J10" s="8" t="s">
        <v>27</v>
      </c>
      <c r="K10" s="9">
        <v>25.0</v>
      </c>
      <c r="L10" s="8" t="s">
        <v>24</v>
      </c>
      <c r="M10" s="9">
        <v>3.0</v>
      </c>
      <c r="N10" s="10" t="s">
        <v>21</v>
      </c>
      <c r="O10" s="14" t="s">
        <v>14</v>
      </c>
      <c r="P10" s="15" t="str">
        <f>VLOOKUP(H10, Sayfa1!$K$14:$V$32, 12, FALSE)</f>
        <v>Düşük</v>
      </c>
    </row>
    <row r="11" ht="14.25" customHeight="1">
      <c r="G11" s="1"/>
      <c r="H11" s="3" t="s">
        <v>30</v>
      </c>
      <c r="I11" s="3" t="s">
        <v>31</v>
      </c>
      <c r="J11" s="3" t="s">
        <v>11</v>
      </c>
      <c r="K11" s="12">
        <v>22.0</v>
      </c>
      <c r="L11" s="5" t="s">
        <v>12</v>
      </c>
      <c r="M11" s="12">
        <v>1.0</v>
      </c>
      <c r="N11" s="13" t="s">
        <v>21</v>
      </c>
      <c r="O11" s="3" t="s">
        <v>14</v>
      </c>
      <c r="P11" s="16" t="str">
        <f>VLOOKUP(H11, Sayfa1!$K$14:$V$32, 12, FALSE)</f>
        <v>Düşük</v>
      </c>
    </row>
    <row r="12" ht="14.25" customHeight="1">
      <c r="G12" s="1"/>
      <c r="H12" s="3" t="s">
        <v>32</v>
      </c>
      <c r="I12" s="3" t="s">
        <v>31</v>
      </c>
      <c r="J12" s="3" t="s">
        <v>11</v>
      </c>
      <c r="K12" s="12">
        <v>22.0</v>
      </c>
      <c r="L12" s="4" t="s">
        <v>16</v>
      </c>
      <c r="M12" s="12">
        <v>2.0</v>
      </c>
      <c r="N12" s="13" t="s">
        <v>21</v>
      </c>
      <c r="O12" s="3" t="s">
        <v>14</v>
      </c>
      <c r="P12" s="17" t="str">
        <f>VLOOKUP(H12, Sayfa1!$K$14:$V$32, 12, FALSE)</f>
        <v>Düşük</v>
      </c>
    </row>
    <row r="13" ht="14.25" customHeight="1">
      <c r="G13" s="1"/>
      <c r="H13" s="3" t="s">
        <v>33</v>
      </c>
      <c r="I13" s="4" t="s">
        <v>31</v>
      </c>
      <c r="J13" s="4" t="s">
        <v>11</v>
      </c>
      <c r="K13" s="18">
        <v>22.0</v>
      </c>
      <c r="L13" s="4" t="s">
        <v>24</v>
      </c>
      <c r="M13" s="18">
        <v>3.0</v>
      </c>
      <c r="N13" s="19" t="s">
        <v>21</v>
      </c>
      <c r="O13" s="20" t="s">
        <v>14</v>
      </c>
      <c r="P13" s="17" t="str">
        <f>VLOOKUP(H13, Sayfa1!$K$14:$V$32, 12, FALSE)</f>
        <v>Düşük</v>
      </c>
    </row>
    <row r="14" ht="14.25" customHeight="1">
      <c r="G14" s="1"/>
      <c r="H14" s="3" t="s">
        <v>34</v>
      </c>
      <c r="I14" s="8" t="s">
        <v>35</v>
      </c>
      <c r="J14" s="8" t="s">
        <v>36</v>
      </c>
      <c r="K14" s="9">
        <v>10.0</v>
      </c>
      <c r="L14" s="8" t="s">
        <v>12</v>
      </c>
      <c r="M14" s="9">
        <v>1.0</v>
      </c>
      <c r="N14" s="19" t="s">
        <v>21</v>
      </c>
      <c r="O14" s="14" t="s">
        <v>14</v>
      </c>
      <c r="P14" s="15" t="str">
        <f>VLOOKUP(H14, Sayfa1!$K$14:$V$32, 12, FALSE)</f>
        <v>Düşük</v>
      </c>
    </row>
    <row r="15" ht="14.25" customHeight="1">
      <c r="G15" s="1"/>
      <c r="H15" s="3" t="s">
        <v>37</v>
      </c>
      <c r="I15" s="3" t="s">
        <v>35</v>
      </c>
      <c r="J15" s="3" t="s">
        <v>36</v>
      </c>
      <c r="K15" s="12">
        <v>10.0</v>
      </c>
      <c r="L15" s="5" t="s">
        <v>24</v>
      </c>
      <c r="M15" s="12">
        <v>3.0</v>
      </c>
      <c r="N15" s="19" t="s">
        <v>21</v>
      </c>
      <c r="O15" s="3" t="s">
        <v>14</v>
      </c>
      <c r="P15" s="16" t="str">
        <f>VLOOKUP(H15, Sayfa1!$K$14:$V$32, 12, FALSE)</f>
        <v>Düşük</v>
      </c>
    </row>
    <row r="16" ht="14.25" customHeight="1">
      <c r="G16" s="1"/>
      <c r="H16" s="3" t="s">
        <v>38</v>
      </c>
      <c r="I16" s="8" t="s">
        <v>35</v>
      </c>
      <c r="J16" s="8" t="s">
        <v>36</v>
      </c>
      <c r="K16" s="9">
        <v>10.0</v>
      </c>
      <c r="L16" s="8" t="s">
        <v>39</v>
      </c>
      <c r="M16" s="9">
        <v>4.0</v>
      </c>
      <c r="N16" s="19" t="s">
        <v>21</v>
      </c>
      <c r="O16" s="14" t="s">
        <v>14</v>
      </c>
      <c r="P16" s="15" t="str">
        <f>VLOOKUP(H16, Sayfa1!$K$14:$V$32, 12, FALSE)</f>
        <v>Düşük</v>
      </c>
    </row>
    <row r="17" ht="14.25" customHeight="1">
      <c r="G17" s="1"/>
      <c r="H17" s="3" t="s">
        <v>40</v>
      </c>
      <c r="I17" s="3" t="s">
        <v>41</v>
      </c>
      <c r="J17" s="3" t="s">
        <v>11</v>
      </c>
      <c r="K17" s="12">
        <v>20.0</v>
      </c>
      <c r="L17" s="5" t="s">
        <v>12</v>
      </c>
      <c r="M17" s="12">
        <v>1.0</v>
      </c>
      <c r="N17" s="19" t="s">
        <v>21</v>
      </c>
      <c r="O17" s="3" t="s">
        <v>14</v>
      </c>
      <c r="P17" s="16" t="str">
        <f>VLOOKUP(H17, Sayfa1!$K$14:$V$32, 12, FALSE)</f>
        <v>Düşük</v>
      </c>
    </row>
    <row r="18" ht="14.25" customHeight="1">
      <c r="G18" s="1"/>
      <c r="H18" s="3" t="s">
        <v>42</v>
      </c>
      <c r="I18" s="3" t="s">
        <v>41</v>
      </c>
      <c r="J18" s="3" t="s">
        <v>11</v>
      </c>
      <c r="K18" s="12">
        <v>20.0</v>
      </c>
      <c r="L18" s="4" t="s">
        <v>24</v>
      </c>
      <c r="M18" s="12">
        <v>3.0</v>
      </c>
      <c r="N18" s="19" t="s">
        <v>21</v>
      </c>
      <c r="O18" s="3" t="s">
        <v>14</v>
      </c>
      <c r="P18" s="17" t="str">
        <f>VLOOKUP(H18, Sayfa1!$K$14:$V$32, 12, FALSE)</f>
        <v>Düşük</v>
      </c>
    </row>
    <row r="19" ht="14.25" customHeight="1">
      <c r="G19" s="1"/>
      <c r="H19" s="3" t="s">
        <v>43</v>
      </c>
      <c r="I19" s="4" t="s">
        <v>41</v>
      </c>
      <c r="J19" s="4" t="s">
        <v>11</v>
      </c>
      <c r="K19" s="18">
        <v>20.0</v>
      </c>
      <c r="L19" s="4" t="s">
        <v>39</v>
      </c>
      <c r="M19" s="18">
        <v>4.0</v>
      </c>
      <c r="N19" s="19" t="s">
        <v>21</v>
      </c>
      <c r="O19" s="20" t="s">
        <v>14</v>
      </c>
      <c r="P19" s="17" t="str">
        <f>VLOOKUP(H19, Sayfa1!$K$14:$V$32, 12, FALSE)</f>
        <v>Düşük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ht="14.25" customHeight="1">
      <c r="K14" s="22" t="s">
        <v>0</v>
      </c>
      <c r="L14" s="23"/>
      <c r="M14" s="24"/>
      <c r="N14" s="22" t="s">
        <v>1</v>
      </c>
      <c r="O14" s="22" t="s">
        <v>2</v>
      </c>
      <c r="P14" s="22" t="s">
        <v>3</v>
      </c>
      <c r="Q14" s="25" t="s">
        <v>4</v>
      </c>
      <c r="R14" s="22" t="s">
        <v>44</v>
      </c>
      <c r="S14" s="26" t="s">
        <v>6</v>
      </c>
      <c r="T14" s="25"/>
      <c r="U14" s="25" t="s">
        <v>7</v>
      </c>
      <c r="V14" s="26" t="s">
        <v>8</v>
      </c>
      <c r="W14" s="25"/>
    </row>
    <row r="15" ht="14.25" customHeight="1">
      <c r="K15" s="27" t="s">
        <v>9</v>
      </c>
      <c r="L15" s="22"/>
      <c r="M15" s="22"/>
      <c r="N15" s="28" t="s">
        <v>10</v>
      </c>
      <c r="O15" s="28" t="s">
        <v>11</v>
      </c>
      <c r="P15" s="28">
        <v>21.0</v>
      </c>
      <c r="Q15" s="29" t="s">
        <v>12</v>
      </c>
      <c r="R15" s="28">
        <v>1.0</v>
      </c>
      <c r="S15" s="30" t="s">
        <v>13</v>
      </c>
      <c r="T15" s="29"/>
      <c r="U15" s="31" t="s">
        <v>14</v>
      </c>
      <c r="V15" s="23" t="s">
        <v>45</v>
      </c>
      <c r="W15" s="31"/>
    </row>
    <row r="16" ht="14.25" customHeight="1">
      <c r="K16" s="22" t="s">
        <v>15</v>
      </c>
      <c r="L16" s="22"/>
      <c r="M16" s="22"/>
      <c r="N16" s="22" t="s">
        <v>10</v>
      </c>
      <c r="O16" s="22" t="s">
        <v>11</v>
      </c>
      <c r="P16" s="22">
        <v>21.0</v>
      </c>
      <c r="Q16" s="25" t="s">
        <v>16</v>
      </c>
      <c r="R16" s="22">
        <v>2.0</v>
      </c>
      <c r="S16" s="26" t="s">
        <v>13</v>
      </c>
      <c r="T16" s="26"/>
      <c r="U16" s="22" t="s">
        <v>14</v>
      </c>
      <c r="V16" s="23" t="s">
        <v>45</v>
      </c>
      <c r="W16" s="25"/>
    </row>
    <row r="17" ht="14.25" customHeight="1">
      <c r="K17" s="22" t="s">
        <v>17</v>
      </c>
      <c r="L17" s="22"/>
      <c r="M17" s="22"/>
      <c r="N17" s="28" t="s">
        <v>10</v>
      </c>
      <c r="O17" s="28" t="s">
        <v>11</v>
      </c>
      <c r="P17" s="28">
        <v>21.0</v>
      </c>
      <c r="Q17" s="29" t="s">
        <v>18</v>
      </c>
      <c r="R17" s="28">
        <v>5.0</v>
      </c>
      <c r="S17" s="30" t="s">
        <v>13</v>
      </c>
      <c r="U17" s="28" t="s">
        <v>14</v>
      </c>
      <c r="V17" s="23" t="s">
        <v>45</v>
      </c>
      <c r="W17" s="29"/>
    </row>
    <row r="18" ht="14.25" customHeight="1">
      <c r="K18" s="22" t="s">
        <v>19</v>
      </c>
      <c r="L18" s="22"/>
      <c r="M18" s="22"/>
      <c r="N18" s="22" t="s">
        <v>20</v>
      </c>
      <c r="O18" s="22" t="s">
        <v>11</v>
      </c>
      <c r="P18" s="22">
        <v>21.0</v>
      </c>
      <c r="Q18" s="25" t="s">
        <v>12</v>
      </c>
      <c r="R18" s="22">
        <v>1.0</v>
      </c>
      <c r="S18" s="26" t="s">
        <v>21</v>
      </c>
      <c r="T18" s="26"/>
      <c r="U18" s="22" t="s">
        <v>14</v>
      </c>
      <c r="V18" s="23" t="s">
        <v>46</v>
      </c>
      <c r="W18" s="25"/>
    </row>
    <row r="19" ht="14.25" customHeight="1">
      <c r="K19" s="22" t="s">
        <v>22</v>
      </c>
      <c r="L19" s="22"/>
      <c r="M19" s="22"/>
      <c r="N19" s="28" t="s">
        <v>20</v>
      </c>
      <c r="O19" s="28" t="s">
        <v>11</v>
      </c>
      <c r="P19" s="28">
        <v>21.0</v>
      </c>
      <c r="Q19" s="29" t="s">
        <v>16</v>
      </c>
      <c r="R19" s="28">
        <v>2.0</v>
      </c>
      <c r="S19" s="30" t="s">
        <v>21</v>
      </c>
      <c r="U19" s="28" t="s">
        <v>14</v>
      </c>
      <c r="V19" s="23" t="s">
        <v>46</v>
      </c>
      <c r="W19" s="29"/>
    </row>
    <row r="20" ht="14.25" customHeight="1">
      <c r="K20" s="22" t="s">
        <v>23</v>
      </c>
      <c r="L20" s="22"/>
      <c r="M20" s="22"/>
      <c r="N20" s="22" t="s">
        <v>20</v>
      </c>
      <c r="O20" s="22" t="s">
        <v>11</v>
      </c>
      <c r="P20" s="22">
        <v>21.0</v>
      </c>
      <c r="Q20" s="25" t="s">
        <v>24</v>
      </c>
      <c r="R20" s="22">
        <v>3.0</v>
      </c>
      <c r="S20" s="26" t="s">
        <v>21</v>
      </c>
      <c r="T20" s="26"/>
      <c r="U20" s="22" t="s">
        <v>14</v>
      </c>
      <c r="V20" s="23" t="s">
        <v>46</v>
      </c>
      <c r="W20" s="25"/>
    </row>
    <row r="21" ht="14.25" customHeight="1">
      <c r="K21" s="22" t="s">
        <v>25</v>
      </c>
      <c r="L21" s="22"/>
      <c r="M21" s="22"/>
      <c r="N21" s="28" t="s">
        <v>26</v>
      </c>
      <c r="O21" s="28" t="s">
        <v>27</v>
      </c>
      <c r="P21" s="28">
        <v>25.0</v>
      </c>
      <c r="Q21" s="29" t="s">
        <v>12</v>
      </c>
      <c r="R21" s="28">
        <v>1.0</v>
      </c>
      <c r="S21" s="30" t="s">
        <v>21</v>
      </c>
      <c r="U21" s="28" t="s">
        <v>14</v>
      </c>
      <c r="V21" s="23" t="s">
        <v>46</v>
      </c>
      <c r="W21" s="29"/>
    </row>
    <row r="22" ht="14.25" customHeight="1">
      <c r="K22" s="22" t="s">
        <v>28</v>
      </c>
      <c r="L22" s="22"/>
      <c r="M22" s="22"/>
      <c r="N22" s="22" t="s">
        <v>26</v>
      </c>
      <c r="O22" s="22" t="s">
        <v>27</v>
      </c>
      <c r="P22" s="22">
        <v>25.0</v>
      </c>
      <c r="Q22" s="25" t="s">
        <v>16</v>
      </c>
      <c r="R22" s="22">
        <v>2.0</v>
      </c>
      <c r="S22" s="26" t="s">
        <v>21</v>
      </c>
      <c r="T22" s="26"/>
      <c r="U22" s="22" t="s">
        <v>14</v>
      </c>
      <c r="V22" s="23" t="s">
        <v>46</v>
      </c>
      <c r="W22" s="25"/>
    </row>
    <row r="23" ht="14.25" customHeight="1">
      <c r="K23" s="22" t="s">
        <v>29</v>
      </c>
      <c r="L23" s="22"/>
      <c r="M23" s="22"/>
      <c r="N23" s="28" t="s">
        <v>26</v>
      </c>
      <c r="O23" s="28" t="s">
        <v>27</v>
      </c>
      <c r="P23" s="28">
        <v>25.0</v>
      </c>
      <c r="Q23" s="29" t="s">
        <v>24</v>
      </c>
      <c r="R23" s="28">
        <v>3.0</v>
      </c>
      <c r="S23" s="30" t="s">
        <v>21</v>
      </c>
      <c r="U23" s="28" t="s">
        <v>14</v>
      </c>
      <c r="V23" s="23" t="s">
        <v>46</v>
      </c>
      <c r="W23" s="29"/>
    </row>
    <row r="24" ht="14.25" customHeight="1">
      <c r="K24" s="22" t="s">
        <v>30</v>
      </c>
      <c r="L24" s="22"/>
      <c r="M24" s="22"/>
      <c r="N24" s="22" t="s">
        <v>31</v>
      </c>
      <c r="O24" s="22" t="s">
        <v>11</v>
      </c>
      <c r="P24" s="22">
        <v>22.0</v>
      </c>
      <c r="Q24" s="25" t="s">
        <v>12</v>
      </c>
      <c r="R24" s="22">
        <v>1.0</v>
      </c>
      <c r="S24" s="26" t="s">
        <v>21</v>
      </c>
      <c r="T24" s="26"/>
      <c r="U24" s="22" t="s">
        <v>14</v>
      </c>
      <c r="V24" s="23" t="s">
        <v>46</v>
      </c>
      <c r="W24" s="25"/>
    </row>
    <row r="25" ht="14.25" customHeight="1">
      <c r="K25" s="22" t="s">
        <v>32</v>
      </c>
      <c r="L25" s="22"/>
      <c r="M25" s="22"/>
      <c r="N25" s="22" t="s">
        <v>31</v>
      </c>
      <c r="O25" s="22" t="s">
        <v>11</v>
      </c>
      <c r="P25" s="22">
        <v>22.0</v>
      </c>
      <c r="Q25" s="25" t="s">
        <v>16</v>
      </c>
      <c r="R25" s="22">
        <v>2.0</v>
      </c>
      <c r="S25" s="26" t="s">
        <v>21</v>
      </c>
      <c r="T25" s="26"/>
      <c r="U25" s="22" t="s">
        <v>14</v>
      </c>
      <c r="V25" s="23" t="s">
        <v>46</v>
      </c>
      <c r="W25" s="25"/>
    </row>
    <row r="26" ht="14.25" customHeight="1">
      <c r="K26" s="22" t="s">
        <v>33</v>
      </c>
      <c r="L26" s="22"/>
      <c r="M26" s="32"/>
      <c r="N26" s="32" t="s">
        <v>31</v>
      </c>
      <c r="O26" s="32" t="s">
        <v>11</v>
      </c>
      <c r="P26" s="32">
        <v>22.0</v>
      </c>
      <c r="Q26" s="24" t="s">
        <v>24</v>
      </c>
      <c r="R26" s="32">
        <v>3.0</v>
      </c>
      <c r="S26" s="21" t="s">
        <v>21</v>
      </c>
      <c r="T26" s="21"/>
      <c r="U26" s="32" t="s">
        <v>14</v>
      </c>
      <c r="V26" s="33" t="s">
        <v>46</v>
      </c>
      <c r="W26" s="24"/>
    </row>
    <row r="27" ht="14.25" customHeight="1">
      <c r="K27" s="22" t="s">
        <v>34</v>
      </c>
      <c r="L27" s="22"/>
      <c r="M27" s="22"/>
      <c r="N27" s="28" t="s">
        <v>35</v>
      </c>
      <c r="O27" s="28" t="s">
        <v>36</v>
      </c>
      <c r="P27" s="28">
        <v>10.0</v>
      </c>
      <c r="Q27" s="29" t="s">
        <v>12</v>
      </c>
      <c r="R27" s="28">
        <v>1.0</v>
      </c>
      <c r="S27" s="23" t="s">
        <v>21</v>
      </c>
      <c r="U27" s="28" t="s">
        <v>14</v>
      </c>
      <c r="V27" s="23" t="s">
        <v>46</v>
      </c>
      <c r="W27" s="29"/>
    </row>
    <row r="28" ht="14.25" customHeight="1">
      <c r="K28" s="22" t="s">
        <v>37</v>
      </c>
      <c r="L28" s="22"/>
      <c r="M28" s="22"/>
      <c r="N28" s="22" t="s">
        <v>35</v>
      </c>
      <c r="O28" s="22" t="s">
        <v>36</v>
      </c>
      <c r="P28" s="22">
        <v>10.0</v>
      </c>
      <c r="Q28" s="25" t="s">
        <v>24</v>
      </c>
      <c r="R28" s="22">
        <v>3.0</v>
      </c>
      <c r="S28" s="33" t="s">
        <v>21</v>
      </c>
      <c r="T28" s="26"/>
      <c r="U28" s="22" t="s">
        <v>14</v>
      </c>
      <c r="V28" s="23" t="s">
        <v>46</v>
      </c>
      <c r="W28" s="25"/>
    </row>
    <row r="29" ht="14.25" customHeight="1">
      <c r="K29" s="22" t="s">
        <v>38</v>
      </c>
      <c r="L29" s="22"/>
      <c r="M29" s="22"/>
      <c r="N29" s="28" t="s">
        <v>35</v>
      </c>
      <c r="O29" s="28" t="s">
        <v>36</v>
      </c>
      <c r="P29" s="28">
        <v>10.0</v>
      </c>
      <c r="Q29" s="29" t="s">
        <v>39</v>
      </c>
      <c r="R29" s="28">
        <v>4.0</v>
      </c>
      <c r="S29" s="33" t="s">
        <v>21</v>
      </c>
      <c r="U29" s="28" t="s">
        <v>14</v>
      </c>
      <c r="V29" s="23" t="s">
        <v>46</v>
      </c>
      <c r="W29" s="29"/>
    </row>
    <row r="30" ht="14.25" customHeight="1">
      <c r="K30" s="22" t="s">
        <v>40</v>
      </c>
      <c r="L30" s="22"/>
      <c r="M30" s="22"/>
      <c r="N30" s="22" t="s">
        <v>41</v>
      </c>
      <c r="O30" s="22" t="s">
        <v>11</v>
      </c>
      <c r="P30" s="22">
        <v>20.0</v>
      </c>
      <c r="Q30" s="25" t="s">
        <v>12</v>
      </c>
      <c r="R30" s="22">
        <v>1.0</v>
      </c>
      <c r="S30" s="33" t="s">
        <v>21</v>
      </c>
      <c r="T30" s="26"/>
      <c r="U30" s="22" t="s">
        <v>14</v>
      </c>
      <c r="V30" s="23" t="s">
        <v>46</v>
      </c>
      <c r="W30" s="25"/>
    </row>
    <row r="31" ht="14.25" customHeight="1">
      <c r="K31" s="22" t="s">
        <v>42</v>
      </c>
      <c r="L31" s="22"/>
      <c r="M31" s="22"/>
      <c r="N31" s="22" t="s">
        <v>41</v>
      </c>
      <c r="O31" s="22" t="s">
        <v>11</v>
      </c>
      <c r="P31" s="22">
        <v>20.0</v>
      </c>
      <c r="Q31" s="25" t="s">
        <v>24</v>
      </c>
      <c r="R31" s="22">
        <v>3.0</v>
      </c>
      <c r="S31" s="33" t="s">
        <v>21</v>
      </c>
      <c r="T31" s="26"/>
      <c r="U31" s="22" t="s">
        <v>14</v>
      </c>
      <c r="V31" s="23" t="s">
        <v>46</v>
      </c>
      <c r="W31" s="25"/>
    </row>
    <row r="32" ht="14.25" customHeight="1">
      <c r="K32" s="22" t="s">
        <v>43</v>
      </c>
      <c r="L32" s="22"/>
      <c r="M32" s="22"/>
      <c r="N32" s="32" t="s">
        <v>41</v>
      </c>
      <c r="O32" s="32" t="s">
        <v>11</v>
      </c>
      <c r="P32" s="32">
        <v>20.0</v>
      </c>
      <c r="Q32" s="24" t="s">
        <v>39</v>
      </c>
      <c r="R32" s="32">
        <v>4.0</v>
      </c>
      <c r="S32" s="21" t="s">
        <v>21</v>
      </c>
      <c r="T32" s="21"/>
      <c r="U32" s="32" t="s">
        <v>14</v>
      </c>
      <c r="V32" s="23" t="s">
        <v>46</v>
      </c>
      <c r="W32" s="24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2026-03-22T18:11:34Z</dcterms:created>
  <dc:creator>EMİRHAN YAŞAR</dc:creator>
</cp:coreProperties>
</file>